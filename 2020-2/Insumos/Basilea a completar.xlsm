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355TX\Documents\Académico\Administración Riesgos curso\Clases\2020-2\Apuntes\"/>
    </mc:Choice>
  </mc:AlternateContent>
  <xr:revisionPtr revIDLastSave="0" documentId="13_ncr:40009_{E780A2EB-89C6-42FC-B783-381948F4DD36}" xr6:coauthVersionLast="44" xr6:coauthVersionMax="44" xr10:uidLastSave="{00000000-0000-0000-0000-000000000000}"/>
  <bookViews>
    <workbookView xWindow="-120" yWindow="-120" windowWidth="29040" windowHeight="15840" activeTab="1"/>
  </bookViews>
  <sheets>
    <sheet name="MMomentos" sheetId="1" r:id="rId1"/>
    <sheet name="Maxim veros" sheetId="2" r:id="rId2"/>
  </sheets>
  <functionGroups builtInGroupCount="19"/>
  <definedNames>
    <definedName name="solver_adj" localSheetId="1" hidden="1">'Maxim veros'!$B$2:$B$3</definedName>
    <definedName name="solver_adj" localSheetId="0" hidden="1">MMomentos!$G$15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2147483647</definedName>
    <definedName name="solver_lhs1" localSheetId="1" hidden="1">'Maxim veros'!$B$2</definedName>
    <definedName name="solver_lhs2" localSheetId="1" hidden="1">'Maxim veros'!$B$3</definedName>
    <definedName name="solver_lin" localSheetId="1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2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'Maxim veros'!$B$6</definedName>
    <definedName name="solver_opt" localSheetId="0" hidden="1">MMomentos!$G$18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2</definedName>
    <definedName name="solver_rel1" localSheetId="1" hidden="1">3</definedName>
    <definedName name="solver_rel2" localSheetId="1" hidden="1">3</definedName>
    <definedName name="solver_rhs1" localSheetId="1" hidden="1">0</definedName>
    <definedName name="solver_rhs2" localSheetId="1" hidden="1">0</definedName>
    <definedName name="solver_rlx" localSheetId="1" hidden="1">1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2147483647</definedName>
    <definedName name="solver_tol" localSheetId="1" hidden="1">0.05</definedName>
    <definedName name="solver_tol" localSheetId="0" hidden="1">0.01</definedName>
    <definedName name="solver_typ" localSheetId="1" hidden="1">1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" l="1"/>
  <c r="B6" i="2" s="1"/>
  <c r="G12" i="1"/>
  <c r="K4" i="2"/>
  <c r="J4" i="2"/>
  <c r="I4" i="2"/>
  <c r="H4" i="2"/>
  <c r="G4" i="2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C3" i="2"/>
  <c r="H42" i="2"/>
  <c r="I42" i="2"/>
  <c r="H15" i="1"/>
  <c r="C51" i="2"/>
  <c r="B51" i="2"/>
  <c r="C50" i="2"/>
  <c r="B50" i="2"/>
  <c r="C49" i="2"/>
  <c r="B49" i="2"/>
  <c r="C48" i="2"/>
  <c r="B48" i="2"/>
  <c r="C47" i="2"/>
  <c r="B47" i="2"/>
  <c r="C46" i="2"/>
  <c r="B46" i="2"/>
  <c r="C45" i="2"/>
  <c r="B45" i="2"/>
  <c r="C44" i="2"/>
  <c r="B44" i="2"/>
  <c r="C43" i="2"/>
  <c r="B43" i="2"/>
  <c r="C42" i="2"/>
  <c r="B42" i="2"/>
  <c r="C41" i="2"/>
  <c r="B41" i="2"/>
  <c r="A41" i="2"/>
  <c r="C40" i="2"/>
  <c r="B40" i="2"/>
  <c r="A40" i="2"/>
  <c r="C39" i="2"/>
  <c r="B39" i="2"/>
  <c r="A39" i="2"/>
  <c r="C38" i="2"/>
  <c r="B38" i="2"/>
  <c r="A38" i="2"/>
  <c r="C37" i="2"/>
  <c r="B37" i="2"/>
  <c r="A37" i="2"/>
  <c r="C36" i="2"/>
  <c r="B36" i="2"/>
  <c r="A36" i="2"/>
  <c r="C35" i="2"/>
  <c r="B35" i="2"/>
  <c r="A35" i="2"/>
  <c r="C34" i="2"/>
  <c r="B34" i="2"/>
  <c r="A34" i="2"/>
  <c r="C33" i="2"/>
  <c r="B33" i="2"/>
  <c r="A33" i="2"/>
  <c r="C32" i="2"/>
  <c r="B32" i="2"/>
  <c r="A32" i="2"/>
  <c r="C31" i="2"/>
  <c r="B31" i="2"/>
  <c r="A31" i="2"/>
  <c r="C30" i="2"/>
  <c r="B30" i="2"/>
  <c r="A30" i="2"/>
  <c r="C29" i="2"/>
  <c r="B29" i="2"/>
  <c r="A29" i="2"/>
  <c r="C28" i="2"/>
  <c r="B28" i="2"/>
  <c r="A28" i="2"/>
  <c r="C27" i="2"/>
  <c r="B27" i="2"/>
  <c r="A27" i="2"/>
  <c r="C26" i="2"/>
  <c r="B26" i="2"/>
  <c r="A26" i="2"/>
  <c r="C25" i="2"/>
  <c r="B25" i="2"/>
  <c r="A25" i="2"/>
  <c r="C24" i="2"/>
  <c r="B24" i="2"/>
  <c r="A24" i="2"/>
  <c r="C23" i="2"/>
  <c r="B23" i="2"/>
  <c r="A23" i="2"/>
  <c r="C22" i="2"/>
  <c r="B22" i="2"/>
  <c r="A22" i="2"/>
  <c r="C21" i="2"/>
  <c r="B21" i="2"/>
  <c r="A21" i="2"/>
  <c r="C20" i="2"/>
  <c r="B20" i="2"/>
  <c r="A20" i="2"/>
  <c r="C19" i="2"/>
  <c r="B19" i="2"/>
  <c r="A19" i="2"/>
  <c r="C18" i="2"/>
  <c r="B18" i="2"/>
  <c r="A18" i="2"/>
  <c r="C17" i="2"/>
  <c r="B17" i="2"/>
  <c r="A17" i="2"/>
  <c r="C16" i="2"/>
  <c r="B16" i="2"/>
  <c r="A16" i="2"/>
  <c r="C15" i="2"/>
  <c r="B15" i="2"/>
  <c r="A15" i="2"/>
  <c r="C14" i="2"/>
  <c r="B14" i="2"/>
  <c r="A14" i="2"/>
  <c r="C13" i="2"/>
  <c r="B13" i="2"/>
  <c r="A13" i="2"/>
  <c r="C12" i="2"/>
  <c r="B12" i="2"/>
  <c r="A12" i="2"/>
  <c r="C11" i="2"/>
  <c r="B11" i="2"/>
  <c r="A11" i="2"/>
  <c r="C10" i="2"/>
  <c r="B10" i="2"/>
  <c r="A10" i="2"/>
  <c r="E34" i="2"/>
  <c r="E24" i="2"/>
  <c r="E18" i="2"/>
  <c r="E17" i="2"/>
  <c r="E27" i="2"/>
  <c r="E34" i="2" a="1"/>
  <c r="E33" i="2"/>
  <c r="E31" i="2"/>
  <c r="E15" i="2"/>
  <c r="E32" i="2"/>
  <c r="E12" i="2"/>
  <c r="E17" i="2" a="1"/>
  <c r="E27" i="2" a="1"/>
  <c r="E33" i="2" a="1"/>
  <c r="E29" i="2" a="1"/>
  <c r="E20" i="2"/>
  <c r="E20" i="2" a="1"/>
  <c r="E25" i="2" a="1"/>
  <c r="E19" i="2" a="1"/>
  <c r="E18" i="2" a="1"/>
  <c r="E23" i="2" a="1"/>
  <c r="E16" i="2" a="1"/>
  <c r="E26" i="2" a="1"/>
  <c r="E28" i="2" a="1"/>
  <c r="E22" i="2" a="1"/>
  <c r="E30" i="2" a="1"/>
  <c r="E31" i="2" a="1"/>
  <c r="E32" i="2" a="1"/>
  <c r="E24" i="2" a="1"/>
  <c r="E21" i="2" a="1"/>
  <c r="E15" i="2" a="1"/>
  <c r="E30" i="2"/>
  <c r="E19" i="2"/>
  <c r="E28" i="2"/>
  <c r="E11" i="2"/>
  <c r="E13" i="2"/>
  <c r="E22" i="2"/>
  <c r="E23" i="2"/>
  <c r="E29" i="2"/>
  <c r="E16" i="2"/>
  <c r="E21" i="2"/>
  <c r="E14" i="2"/>
  <c r="E25" i="2"/>
  <c r="E26" i="2"/>
  <c r="C4" i="2"/>
  <c r="G17" i="1"/>
  <c r="G22" i="1"/>
  <c r="G18" i="1" l="1"/>
</calcChain>
</file>

<file path=xl/comments1.xml><?xml version="1.0" encoding="utf-8"?>
<comments xmlns="http://schemas.openxmlformats.org/spreadsheetml/2006/main">
  <authors>
    <author>BBVA-BANCOMER</author>
  </authors>
  <commentList>
    <comment ref="H15" authorId="0" shapeId="0">
      <text>
        <r>
          <rPr>
            <b/>
            <sz val="8"/>
            <color indexed="81"/>
            <rFont val="Tahoma"/>
            <family val="2"/>
          </rPr>
          <t>Factor de sensibilidad</t>
        </r>
      </text>
    </comment>
  </commentList>
</comments>
</file>

<file path=xl/comments2.xml><?xml version="1.0" encoding="utf-8"?>
<comments xmlns="http://schemas.openxmlformats.org/spreadsheetml/2006/main">
  <authors>
    <author>BBVA-BANCOMER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correlación b^2</t>
        </r>
      </text>
    </comment>
  </commentList>
</comments>
</file>

<file path=xl/sharedStrings.xml><?xml version="1.0" encoding="utf-8"?>
<sst xmlns="http://schemas.openxmlformats.org/spreadsheetml/2006/main" count="31" uniqueCount="27">
  <si>
    <t>Datos</t>
  </si>
  <si>
    <t>Año t</t>
  </si>
  <si>
    <t># Deudores (N_t)</t>
  </si>
  <si>
    <t># Defaults t (D_t)</t>
  </si>
  <si>
    <t>Estimación de Momentos</t>
  </si>
  <si>
    <t>PD</t>
  </si>
  <si>
    <t>Valor crítico de referencia (Default threshold)</t>
  </si>
  <si>
    <t>Correlación de activos (b^2)</t>
  </si>
  <si>
    <t>Probabilidad conjunta de incumplmiento (norm bivariada)</t>
  </si>
  <si>
    <t>Probabilidad de conjunta de incumplimiento</t>
  </si>
  <si>
    <t>(D_t(D_t-1)) /(N_t(N_t-1))</t>
  </si>
  <si>
    <t>A estimar</t>
  </si>
  <si>
    <t>Log Verosimilitud</t>
  </si>
  <si>
    <t>Cálculos para la verosimilitud</t>
  </si>
  <si>
    <t>factor de sensibilidad b</t>
  </si>
  <si>
    <t>Representación del valor de activos</t>
  </si>
  <si>
    <t>Aproximación de Z por 21 puntos</t>
  </si>
  <si>
    <t>p_l</t>
  </si>
  <si>
    <t>ln L_l</t>
  </si>
  <si>
    <t>PRIMER MOMENTO</t>
  </si>
  <si>
    <t>SEGUNDO MOMENTO</t>
  </si>
  <si>
    <t>VALORES DE REFERENCIA</t>
  </si>
  <si>
    <t>F</t>
  </si>
  <si>
    <t>P(F)</t>
  </si>
  <si>
    <t>p_l(F)</t>
  </si>
  <si>
    <t>ln Llt integral</t>
  </si>
  <si>
    <t>Distribución F N(0,1)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</si>
</sst>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_-;\-* #,##0.00_-;_-* &quot;-&quot;??_-;_-@_-"/>
    <numFmt numFmtId="164" formatCode="0.0%"/>
    <numFmt numFmtId="166" formatCode="0.0000%"/>
    <numFmt numFmtId="167" formatCode="0.00000%"/>
    <numFmt numFmtId="168" formatCode="0.000000%"/>
    <numFmt numFmtId="169" formatCode="0.0000000%"/>
    <numFmt numFmtId="170" formatCode="0.00000000%"/>
    <numFmt numFmtId="175" formatCode="_-* #,##0.00000_-;\-* #,##0.00000_-;_-* &quot;-&quot;??_-;_-@_-"/>
  </numFmts>
  <fonts count="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10" fontId="0" fillId="0" borderId="0" xfId="2" applyNumberFormat="1" applyFont="1"/>
    <xf numFmtId="166" fontId="0" fillId="0" borderId="0" xfId="2" applyNumberFormat="1" applyFont="1"/>
    <xf numFmtId="0" fontId="2" fillId="0" borderId="0" xfId="0" applyFont="1"/>
    <xf numFmtId="168" fontId="0" fillId="0" borderId="0" xfId="2" applyNumberFormat="1" applyFont="1"/>
    <xf numFmtId="170" fontId="0" fillId="0" borderId="0" xfId="2" applyNumberFormat="1" applyFont="1"/>
    <xf numFmtId="0" fontId="0" fillId="0" borderId="0" xfId="0" applyAlignment="1">
      <alignment wrapText="1"/>
    </xf>
    <xf numFmtId="175" fontId="0" fillId="0" borderId="0" xfId="1" applyNumberFormat="1" applyFont="1"/>
    <xf numFmtId="0" fontId="0" fillId="2" borderId="0" xfId="0" applyFill="1" applyAlignment="1">
      <alignment wrapText="1"/>
    </xf>
    <xf numFmtId="0" fontId="0" fillId="2" borderId="0" xfId="0" applyFill="1"/>
    <xf numFmtId="0" fontId="0" fillId="3" borderId="0" xfId="0" applyFill="1"/>
    <xf numFmtId="169" fontId="7" fillId="4" borderId="0" xfId="2" applyNumberFormat="1" applyFont="1" applyFill="1"/>
    <xf numFmtId="164" fontId="0" fillId="0" borderId="0" xfId="2" applyNumberFormat="1" applyFont="1"/>
    <xf numFmtId="0" fontId="6" fillId="0" borderId="0" xfId="0" applyFont="1"/>
    <xf numFmtId="166" fontId="0" fillId="5" borderId="0" xfId="2" applyNumberFormat="1" applyFont="1" applyFill="1"/>
    <xf numFmtId="168" fontId="0" fillId="5" borderId="0" xfId="2" applyNumberFormat="1" applyFont="1" applyFill="1"/>
    <xf numFmtId="169" fontId="0" fillId="5" borderId="0" xfId="0" applyNumberFormat="1" applyFill="1"/>
    <xf numFmtId="0" fontId="0" fillId="5" borderId="0" xfId="0" applyFill="1"/>
    <xf numFmtId="167" fontId="7" fillId="5" borderId="0" xfId="2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7"/>
  <sheetViews>
    <sheetView topLeftCell="A2" zoomScale="145" zoomScaleNormal="145" workbookViewId="0">
      <selection activeCell="G8" sqref="G8"/>
    </sheetView>
  </sheetViews>
  <sheetFormatPr defaultColWidth="11.42578125" defaultRowHeight="12.75" x14ac:dyDescent="0.2"/>
  <cols>
    <col min="1" max="3" width="11.42578125" customWidth="1"/>
    <col min="4" max="4" width="3.28515625" customWidth="1"/>
    <col min="5" max="5" width="13.28515625" customWidth="1"/>
    <col min="6" max="6" width="4" customWidth="1"/>
    <col min="7" max="7" width="13.140625" customWidth="1"/>
  </cols>
  <sheetData>
    <row r="1" spans="1:8" x14ac:dyDescent="0.2">
      <c r="A1" t="s">
        <v>0</v>
      </c>
    </row>
    <row r="2" spans="1:8" ht="25.5" x14ac:dyDescent="0.2">
      <c r="A2" s="6" t="s">
        <v>1</v>
      </c>
      <c r="B2" s="6" t="s">
        <v>3</v>
      </c>
      <c r="C2" s="6" t="s">
        <v>2</v>
      </c>
      <c r="D2" s="6"/>
      <c r="E2" s="6" t="s">
        <v>10</v>
      </c>
      <c r="G2" s="3" t="s">
        <v>4</v>
      </c>
    </row>
    <row r="3" spans="1:8" x14ac:dyDescent="0.2">
      <c r="A3">
        <v>1981</v>
      </c>
      <c r="B3">
        <v>0</v>
      </c>
      <c r="C3">
        <v>1070</v>
      </c>
      <c r="E3" s="14"/>
      <c r="F3">
        <f>B3/C3</f>
        <v>0</v>
      </c>
      <c r="G3" t="s">
        <v>5</v>
      </c>
    </row>
    <row r="4" spans="1:8" x14ac:dyDescent="0.2">
      <c r="A4">
        <v>1982</v>
      </c>
      <c r="B4">
        <v>2</v>
      </c>
      <c r="C4">
        <v>1099</v>
      </c>
      <c r="E4" s="14"/>
      <c r="F4">
        <f t="shared" ref="F4:F27" si="0">B4/C4</f>
        <v>1.8198362147406734E-3</v>
      </c>
      <c r="G4" s="15"/>
      <c r="H4" t="s">
        <v>19</v>
      </c>
    </row>
    <row r="5" spans="1:8" x14ac:dyDescent="0.2">
      <c r="A5">
        <v>1983</v>
      </c>
      <c r="B5">
        <v>1</v>
      </c>
      <c r="C5">
        <v>1122</v>
      </c>
      <c r="E5" s="14"/>
      <c r="F5">
        <f t="shared" si="0"/>
        <v>8.9126559714795004E-4</v>
      </c>
    </row>
    <row r="6" spans="1:8" x14ac:dyDescent="0.2">
      <c r="A6">
        <v>1984</v>
      </c>
      <c r="B6">
        <v>2</v>
      </c>
      <c r="C6">
        <v>1181</v>
      </c>
      <c r="E6" s="14"/>
      <c r="F6">
        <f t="shared" si="0"/>
        <v>1.693480101608806E-3</v>
      </c>
      <c r="G6" t="s">
        <v>9</v>
      </c>
    </row>
    <row r="7" spans="1:8" x14ac:dyDescent="0.2">
      <c r="A7">
        <v>1985</v>
      </c>
      <c r="B7">
        <v>0</v>
      </c>
      <c r="C7">
        <v>1216</v>
      </c>
      <c r="E7" s="14"/>
      <c r="F7">
        <f t="shared" si="0"/>
        <v>0</v>
      </c>
      <c r="G7" s="16"/>
      <c r="H7" t="s">
        <v>20</v>
      </c>
    </row>
    <row r="8" spans="1:8" x14ac:dyDescent="0.2">
      <c r="A8">
        <v>1986</v>
      </c>
      <c r="B8">
        <v>2</v>
      </c>
      <c r="C8">
        <v>1337</v>
      </c>
      <c r="E8" s="14"/>
      <c r="F8">
        <f t="shared" si="0"/>
        <v>1.4958863126402393E-3</v>
      </c>
    </row>
    <row r="9" spans="1:8" x14ac:dyDescent="0.2">
      <c r="A9">
        <v>1987</v>
      </c>
      <c r="B9">
        <v>0</v>
      </c>
      <c r="C9">
        <v>1334</v>
      </c>
      <c r="E9" s="14"/>
      <c r="F9">
        <f t="shared" si="0"/>
        <v>0</v>
      </c>
    </row>
    <row r="10" spans="1:8" x14ac:dyDescent="0.2">
      <c r="A10">
        <v>1988</v>
      </c>
      <c r="B10">
        <v>0</v>
      </c>
      <c r="C10">
        <v>1349</v>
      </c>
      <c r="E10" s="14"/>
      <c r="F10">
        <f t="shared" si="0"/>
        <v>0</v>
      </c>
      <c r="G10" s="3" t="s">
        <v>15</v>
      </c>
    </row>
    <row r="11" spans="1:8" x14ac:dyDescent="0.2">
      <c r="A11">
        <v>1989</v>
      </c>
      <c r="B11">
        <v>2</v>
      </c>
      <c r="C11">
        <v>1400</v>
      </c>
      <c r="E11" s="14"/>
      <c r="F11">
        <f t="shared" si="0"/>
        <v>1.4285714285714286E-3</v>
      </c>
      <c r="G11" s="3" t="s">
        <v>6</v>
      </c>
    </row>
    <row r="12" spans="1:8" x14ac:dyDescent="0.2">
      <c r="A12">
        <v>1990</v>
      </c>
      <c r="B12">
        <v>2</v>
      </c>
      <c r="C12">
        <v>1447</v>
      </c>
      <c r="E12" s="14"/>
      <c r="F12">
        <f t="shared" si="0"/>
        <v>1.38217000691085E-3</v>
      </c>
      <c r="G12" s="17" t="e">
        <f>NORMSINV(G4)</f>
        <v>#NUM!</v>
      </c>
    </row>
    <row r="13" spans="1:8" x14ac:dyDescent="0.2">
      <c r="A13">
        <v>1991</v>
      </c>
      <c r="B13">
        <v>3</v>
      </c>
      <c r="C13">
        <v>1496</v>
      </c>
      <c r="E13" s="14"/>
      <c r="F13">
        <f t="shared" si="0"/>
        <v>2.0053475935828879E-3</v>
      </c>
    </row>
    <row r="14" spans="1:8" x14ac:dyDescent="0.2">
      <c r="A14">
        <v>1992</v>
      </c>
      <c r="B14">
        <v>0</v>
      </c>
      <c r="C14">
        <v>1661</v>
      </c>
      <c r="E14" s="14"/>
      <c r="F14">
        <f t="shared" si="0"/>
        <v>0</v>
      </c>
      <c r="G14" s="3" t="s">
        <v>7</v>
      </c>
    </row>
    <row r="15" spans="1:8" x14ac:dyDescent="0.2">
      <c r="A15">
        <v>1993</v>
      </c>
      <c r="B15">
        <v>0</v>
      </c>
      <c r="C15">
        <v>1823</v>
      </c>
      <c r="E15" s="14"/>
      <c r="F15">
        <f t="shared" si="0"/>
        <v>0</v>
      </c>
      <c r="G15" s="4">
        <v>4.1461801940101017E-2</v>
      </c>
      <c r="H15" s="1">
        <f>SQRT(G15)</f>
        <v>0.20362171284050484</v>
      </c>
    </row>
    <row r="16" spans="1:8" x14ac:dyDescent="0.2">
      <c r="A16">
        <v>1994</v>
      </c>
      <c r="B16">
        <v>1</v>
      </c>
      <c r="C16">
        <v>1916</v>
      </c>
      <c r="E16" s="14"/>
      <c r="F16">
        <f t="shared" si="0"/>
        <v>5.2192066805845506E-4</v>
      </c>
      <c r="G16" s="3" t="s">
        <v>8</v>
      </c>
    </row>
    <row r="17" spans="1:7" x14ac:dyDescent="0.2">
      <c r="A17">
        <v>1995</v>
      </c>
      <c r="B17">
        <v>1</v>
      </c>
      <c r="C17">
        <v>2144</v>
      </c>
      <c r="E17" s="14"/>
      <c r="F17">
        <f t="shared" si="0"/>
        <v>4.6641791044776119E-4</v>
      </c>
      <c r="G17" s="5" t="e">
        <f>bivar(G12,G12,G15)</f>
        <v>#VALUE!</v>
      </c>
    </row>
    <row r="18" spans="1:7" x14ac:dyDescent="0.2">
      <c r="A18">
        <v>1996</v>
      </c>
      <c r="B18">
        <v>0</v>
      </c>
      <c r="C18">
        <v>2336</v>
      </c>
      <c r="E18" s="14"/>
      <c r="F18">
        <f t="shared" si="0"/>
        <v>0</v>
      </c>
      <c r="G18" s="1" t="e">
        <f>G17/G7-1</f>
        <v>#VALUE!</v>
      </c>
    </row>
    <row r="19" spans="1:7" x14ac:dyDescent="0.2">
      <c r="A19">
        <v>1997</v>
      </c>
      <c r="B19">
        <v>2</v>
      </c>
      <c r="C19">
        <v>2551</v>
      </c>
      <c r="E19" s="14"/>
      <c r="F19">
        <f t="shared" si="0"/>
        <v>7.840062720501764E-4</v>
      </c>
    </row>
    <row r="20" spans="1:7" x14ac:dyDescent="0.2">
      <c r="A20">
        <v>1998</v>
      </c>
      <c r="B20">
        <v>4</v>
      </c>
      <c r="C20">
        <v>2718</v>
      </c>
      <c r="E20" s="14"/>
      <c r="F20">
        <f t="shared" si="0"/>
        <v>1.4716703458425313E-3</v>
      </c>
    </row>
    <row r="21" spans="1:7" x14ac:dyDescent="0.2">
      <c r="A21">
        <v>1999</v>
      </c>
      <c r="B21">
        <v>4</v>
      </c>
      <c r="C21">
        <v>2790</v>
      </c>
      <c r="E21" s="14"/>
      <c r="F21">
        <f t="shared" si="0"/>
        <v>1.4336917562724014E-3</v>
      </c>
    </row>
    <row r="22" spans="1:7" x14ac:dyDescent="0.2">
      <c r="A22">
        <v>2000</v>
      </c>
      <c r="B22">
        <v>5</v>
      </c>
      <c r="C22">
        <v>2835</v>
      </c>
      <c r="E22" s="14"/>
      <c r="F22">
        <f t="shared" si="0"/>
        <v>1.7636684303350969E-3</v>
      </c>
      <c r="G22" s="2">
        <f>bivar(_xlfn.NORM.S.INV(10%),_xlfn.NORM.S.INV(10%),G15)</f>
        <v>1.1313471948992272E-2</v>
      </c>
    </row>
    <row r="23" spans="1:7" x14ac:dyDescent="0.2">
      <c r="A23">
        <v>2001</v>
      </c>
      <c r="B23">
        <v>6</v>
      </c>
      <c r="C23">
        <v>2929</v>
      </c>
      <c r="E23" s="14"/>
      <c r="F23">
        <f t="shared" si="0"/>
        <v>2.0484807101399795E-3</v>
      </c>
    </row>
    <row r="24" spans="1:7" x14ac:dyDescent="0.2">
      <c r="A24">
        <v>2002</v>
      </c>
      <c r="B24">
        <v>14</v>
      </c>
      <c r="C24">
        <v>3049</v>
      </c>
      <c r="E24" s="14"/>
      <c r="F24">
        <f t="shared" si="0"/>
        <v>4.5916693998032145E-3</v>
      </c>
    </row>
    <row r="25" spans="1:7" x14ac:dyDescent="0.2">
      <c r="A25">
        <v>2003</v>
      </c>
      <c r="B25">
        <v>3</v>
      </c>
      <c r="C25">
        <v>2998</v>
      </c>
      <c r="E25" s="14"/>
      <c r="F25">
        <f t="shared" si="0"/>
        <v>1.0006671114076052E-3</v>
      </c>
    </row>
    <row r="26" spans="1:7" x14ac:dyDescent="0.2">
      <c r="A26">
        <v>2004</v>
      </c>
      <c r="B26">
        <v>0</v>
      </c>
      <c r="C26">
        <v>3117</v>
      </c>
      <c r="E26" s="14"/>
      <c r="F26">
        <f t="shared" si="0"/>
        <v>0</v>
      </c>
    </row>
    <row r="27" spans="1:7" x14ac:dyDescent="0.2">
      <c r="A27">
        <v>2005</v>
      </c>
      <c r="B27">
        <v>1</v>
      </c>
      <c r="C27">
        <v>3264</v>
      </c>
      <c r="E27" s="14"/>
      <c r="F27">
        <f t="shared" si="0"/>
        <v>3.0637254901960784E-4</v>
      </c>
    </row>
  </sheetData>
  <phoneticPr fontId="3" type="noConversion"/>
  <pageMargins left="0.75" right="0.75" top="1" bottom="1" header="0" footer="0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G62"/>
  <sheetViews>
    <sheetView tabSelected="1" zoomScale="150" zoomScaleNormal="150" workbookViewId="0">
      <selection activeCell="E1" sqref="E1"/>
    </sheetView>
  </sheetViews>
  <sheetFormatPr defaultColWidth="11.42578125" defaultRowHeight="12.75" x14ac:dyDescent="0.2"/>
  <cols>
    <col min="1" max="1" width="12.42578125" customWidth="1"/>
    <col min="2" max="2" width="12.85546875" bestFit="1" customWidth="1"/>
    <col min="3" max="3" width="11.42578125" customWidth="1"/>
    <col min="4" max="4" width="5.7109375" customWidth="1"/>
    <col min="5" max="5" width="11.42578125" customWidth="1"/>
    <col min="6" max="7" width="12.42578125" bestFit="1" customWidth="1"/>
    <col min="8" max="8" width="12.28515625" bestFit="1" customWidth="1"/>
    <col min="9" max="9" width="13" bestFit="1" customWidth="1"/>
    <col min="10" max="12" width="12.42578125" bestFit="1" customWidth="1"/>
  </cols>
  <sheetData>
    <row r="1" spans="1:33" x14ac:dyDescent="0.2">
      <c r="A1" s="3" t="s">
        <v>11</v>
      </c>
      <c r="F1" t="s">
        <v>16</v>
      </c>
    </row>
    <row r="2" spans="1:33" x14ac:dyDescent="0.2">
      <c r="A2" t="s">
        <v>17</v>
      </c>
      <c r="B2" s="11">
        <v>1.0431421352248631E-3</v>
      </c>
      <c r="E2" s="13" t="s">
        <v>26</v>
      </c>
      <c r="F2" s="9" t="s">
        <v>22</v>
      </c>
      <c r="G2" s="9">
        <v>4.78</v>
      </c>
      <c r="H2" s="9">
        <v>4.2009999999999996</v>
      </c>
      <c r="I2" s="9">
        <v>3.5939999999999999</v>
      </c>
      <c r="J2" s="9">
        <v>3.1539999999999999</v>
      </c>
      <c r="K2" s="9">
        <v>2.6669999999999998</v>
      </c>
      <c r="L2" s="9">
        <v>2.2149999999999999</v>
      </c>
      <c r="M2" s="9">
        <v>1.8029999999999999</v>
      </c>
      <c r="N2" s="9">
        <v>1.3480000000000001</v>
      </c>
      <c r="O2" s="9">
        <v>0.88</v>
      </c>
      <c r="P2" s="9">
        <v>0.45600000000000002</v>
      </c>
      <c r="Q2" s="9">
        <v>0</v>
      </c>
      <c r="R2" s="9">
        <v>-0.45600000000000002</v>
      </c>
      <c r="S2" s="9">
        <v>-0.88</v>
      </c>
      <c r="T2" s="9">
        <v>-1.3480000000000001</v>
      </c>
      <c r="U2" s="9">
        <v>-1.8029999999999999</v>
      </c>
      <c r="V2" s="9">
        <v>-2.2149999999999999</v>
      </c>
      <c r="W2" s="9">
        <v>-2.6669999999999998</v>
      </c>
      <c r="X2" s="9">
        <v>-3.1539999999999999</v>
      </c>
      <c r="Y2" s="9">
        <v>-3.5939999999999999</v>
      </c>
      <c r="Z2" s="9">
        <v>-4.2009999999999996</v>
      </c>
      <c r="AA2" s="9">
        <v>-4.78</v>
      </c>
      <c r="AB2" s="9" t="s">
        <v>21</v>
      </c>
    </row>
    <row r="3" spans="1:33" ht="25.5" x14ac:dyDescent="0.2">
      <c r="A3" s="6" t="s">
        <v>14</v>
      </c>
      <c r="B3" s="11">
        <v>0.22219758230845274</v>
      </c>
      <c r="C3" s="2">
        <f>B3^2</f>
        <v>4.9371765583721632E-2</v>
      </c>
      <c r="F3" s="9" t="s">
        <v>23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9"/>
      <c r="AG3">
        <v>5.0000000000000004E-6</v>
      </c>
    </row>
    <row r="4" spans="1:33" x14ac:dyDescent="0.2">
      <c r="C4" s="12">
        <f>bivar(B2,B2,B3)</f>
        <v>0.28607650221756031</v>
      </c>
      <c r="G4">
        <f>_xlfn.NORM.S.DIST(G2,FALSE)</f>
        <v>4.3595638796716367E-6</v>
      </c>
      <c r="H4">
        <f>_xlfn.NORM.S.DIST(H2,FALSE)</f>
        <v>5.8695996674749032E-5</v>
      </c>
      <c r="I4">
        <f>_xlfn.NORM.S.DIST(I2,FALSE)</f>
        <v>6.2525153499180591E-4</v>
      </c>
      <c r="J4">
        <f>_xlfn.NORM.S.DIST(J2,FALSE)</f>
        <v>2.7592495643326926E-3</v>
      </c>
      <c r="K4">
        <f>_xlfn.NORM.S.DIST(K2,FALSE)</f>
        <v>1.1385860126679427E-2</v>
      </c>
      <c r="AG4">
        <v>3.0000000000000001E-5</v>
      </c>
    </row>
    <row r="5" spans="1:33" x14ac:dyDescent="0.2">
      <c r="A5" s="3" t="s">
        <v>12</v>
      </c>
      <c r="F5" t="s">
        <v>13</v>
      </c>
      <c r="AG5">
        <v>2.31E-4</v>
      </c>
    </row>
    <row r="6" spans="1:33" x14ac:dyDescent="0.2">
      <c r="A6" t="s">
        <v>18</v>
      </c>
      <c r="B6" s="7" t="e">
        <f>SUM(E10:E34)</f>
        <v>#NUM!</v>
      </c>
      <c r="C6">
        <v>-26.70608784083398</v>
      </c>
      <c r="F6" s="10" t="s">
        <v>24</v>
      </c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G6">
        <v>1.7049999999999999E-3</v>
      </c>
    </row>
    <row r="7" spans="1:33" x14ac:dyDescent="0.2">
      <c r="AG7">
        <v>4.6829999999999997E-3</v>
      </c>
    </row>
    <row r="8" spans="1:33" x14ac:dyDescent="0.2">
      <c r="A8" t="s">
        <v>0</v>
      </c>
      <c r="AG8">
        <v>1.421E-3</v>
      </c>
    </row>
    <row r="9" spans="1:33" ht="25.5" x14ac:dyDescent="0.2">
      <c r="A9" s="8" t="s">
        <v>1</v>
      </c>
      <c r="B9" s="8" t="s">
        <v>3</v>
      </c>
      <c r="C9" s="8" t="s">
        <v>2</v>
      </c>
      <c r="D9" s="6"/>
      <c r="E9" s="6" t="s">
        <v>25</v>
      </c>
      <c r="G9" s="6"/>
      <c r="H9" s="6"/>
      <c r="AG9">
        <v>3.6118999999999998E-2</v>
      </c>
    </row>
    <row r="10" spans="1:33" x14ac:dyDescent="0.2">
      <c r="A10" s="9">
        <f>MMomentos!A3</f>
        <v>1981</v>
      </c>
      <c r="B10" s="9">
        <f>MMomentos!B3</f>
        <v>0</v>
      </c>
      <c r="C10" s="9">
        <f>MMomentos!C3</f>
        <v>1070</v>
      </c>
      <c r="E10" s="2" t="e">
        <f>LN(SUMPRODUCT(G10:AA10,$G$3:$AA$3))</f>
        <v>#NUM!</v>
      </c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G10">
        <v>7.3192999999999999E-3</v>
      </c>
    </row>
    <row r="11" spans="1:33" x14ac:dyDescent="0.2">
      <c r="A11" s="9">
        <f>MMomentos!A4</f>
        <v>1982</v>
      </c>
      <c r="B11" s="9">
        <f>MMomentos!B4</f>
        <v>2</v>
      </c>
      <c r="C11" s="9">
        <f>MMomentos!C4</f>
        <v>1099</v>
      </c>
      <c r="E11" s="2" t="e">
        <f>LN(SUMPRODUCT(G11:AA11,$G$3:$AA$3))</f>
        <v>#NUM!</v>
      </c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G11">
        <v>0.119712</v>
      </c>
    </row>
    <row r="12" spans="1:33" x14ac:dyDescent="0.2">
      <c r="A12" s="9">
        <f>MMomentos!A5</f>
        <v>1983</v>
      </c>
      <c r="B12" s="9">
        <f>MMomentos!B5</f>
        <v>1</v>
      </c>
      <c r="C12" s="9">
        <f>MMomentos!C5</f>
        <v>1122</v>
      </c>
      <c r="E12" s="2" t="e">
        <f>LN(SUMPRODUCT(G12:AA12,$G$3:$AA$3))</f>
        <v>#NUM!</v>
      </c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G12">
        <v>0.16005800000000001</v>
      </c>
    </row>
    <row r="13" spans="1:33" x14ac:dyDescent="0.2">
      <c r="A13" s="9">
        <f>MMomentos!A6</f>
        <v>1984</v>
      </c>
      <c r="B13" s="9">
        <f>MMomentos!B6</f>
        <v>2</v>
      </c>
      <c r="C13" s="9">
        <f>MMomentos!C6</f>
        <v>1181</v>
      </c>
      <c r="E13" s="2" t="e">
        <f>LN(SUMPRODUCT(G13:AA13,$G$3:$AA$3))</f>
        <v>#NUM!</v>
      </c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G13">
        <v>0.18010599999999999</v>
      </c>
    </row>
    <row r="14" spans="1:33" x14ac:dyDescent="0.2">
      <c r="A14" s="9">
        <f>MMomentos!A7</f>
        <v>1985</v>
      </c>
      <c r="B14" s="9">
        <f>MMomentos!B7</f>
        <v>0</v>
      </c>
      <c r="C14" s="9">
        <f>MMomentos!C7</f>
        <v>1216</v>
      </c>
      <c r="E14" s="2" t="e">
        <f>LN(SUMPRODUCT(G14:AA14,$G$3:$AA$3))</f>
        <v>#NUM!</v>
      </c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G14">
        <v>0.16005800000000001</v>
      </c>
    </row>
    <row r="15" spans="1:33" x14ac:dyDescent="0.2">
      <c r="A15" s="9">
        <f>MMomentos!A8</f>
        <v>1986</v>
      </c>
      <c r="B15" s="9">
        <f>MMomentos!B8</f>
        <v>2</v>
      </c>
      <c r="C15" s="9">
        <f>MMomentos!C8</f>
        <v>1337</v>
      </c>
      <c r="E15" s="2" t="e">
        <f t="array" ref="E15">LN(SUMPRODUCT(G15:AA15,$G$3:$AA$3))</f>
        <v>#NUM!</v>
      </c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G15">
        <v>0.119712</v>
      </c>
    </row>
    <row r="16" spans="1:33" x14ac:dyDescent="0.2">
      <c r="A16" s="9">
        <f>MMomentos!A9</f>
        <v>1987</v>
      </c>
      <c r="B16" s="9">
        <f>MMomentos!B9</f>
        <v>0</v>
      </c>
      <c r="C16" s="9">
        <f>MMomentos!C9</f>
        <v>1334</v>
      </c>
      <c r="E16" s="2" t="e">
        <f t="array" ref="E16">LN(SUMPRODUCT(G16:AA16,$G$3:$AA$3))</f>
        <v>#NUM!</v>
      </c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G16">
        <v>3.6118999999999998E-2</v>
      </c>
    </row>
    <row r="17" spans="1:33" x14ac:dyDescent="0.2">
      <c r="A17" s="9">
        <f>MMomentos!A10</f>
        <v>1988</v>
      </c>
      <c r="B17" s="9">
        <f>MMomentos!B10</f>
        <v>0</v>
      </c>
      <c r="C17" s="9">
        <f>MMomentos!C10</f>
        <v>1349</v>
      </c>
      <c r="E17" s="2" t="e">
        <f t="array" ref="E17">LN(SUMPRODUCT(G17:AA17,$G$3:$AA$3))</f>
        <v>#NUM!</v>
      </c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G17">
        <v>7.3192999999999999E-3</v>
      </c>
    </row>
    <row r="18" spans="1:33" x14ac:dyDescent="0.2">
      <c r="A18" s="9">
        <f>MMomentos!A11</f>
        <v>1989</v>
      </c>
      <c r="B18" s="9">
        <f>MMomentos!B11</f>
        <v>2</v>
      </c>
      <c r="C18" s="9">
        <f>MMomentos!C11</f>
        <v>1400</v>
      </c>
      <c r="E18" s="2" t="e">
        <f t="array" ref="E18">LN(SUMPRODUCT(G18:AA18,$G$3:$AA$3))</f>
        <v>#NUM!</v>
      </c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G18">
        <v>4.6829999999999997E-3</v>
      </c>
    </row>
    <row r="19" spans="1:33" x14ac:dyDescent="0.2">
      <c r="A19" s="9">
        <f>MMomentos!A12</f>
        <v>1990</v>
      </c>
      <c r="B19" s="9">
        <f>MMomentos!B12</f>
        <v>2</v>
      </c>
      <c r="C19" s="9">
        <f>MMomentos!C12</f>
        <v>1447</v>
      </c>
      <c r="E19" s="2" t="e">
        <f t="array" ref="E19">LN(SUMPRODUCT(G19:AA19,$G$3:$AA$3))</f>
        <v>#NUM!</v>
      </c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G19">
        <v>1.7049999999999999E-3</v>
      </c>
    </row>
    <row r="20" spans="1:33" x14ac:dyDescent="0.2">
      <c r="A20" s="9">
        <f>MMomentos!A13</f>
        <v>1991</v>
      </c>
      <c r="B20" s="9">
        <f>MMomentos!B13</f>
        <v>3</v>
      </c>
      <c r="C20" s="9">
        <f>MMomentos!C13</f>
        <v>1496</v>
      </c>
      <c r="E20" s="2" t="e">
        <f t="array" ref="E20">LN(SUMPRODUCT(G20:AA20,$G$3:$AA$3))</f>
        <v>#NUM!</v>
      </c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G20">
        <v>1.421E-3</v>
      </c>
    </row>
    <row r="21" spans="1:33" x14ac:dyDescent="0.2">
      <c r="A21" s="9">
        <f>MMomentos!A14</f>
        <v>1992</v>
      </c>
      <c r="B21" s="9">
        <f>MMomentos!B14</f>
        <v>0</v>
      </c>
      <c r="C21" s="9">
        <f>MMomentos!C14</f>
        <v>1661</v>
      </c>
      <c r="E21" s="2" t="e">
        <f t="array" ref="E21">LN(SUMPRODUCT(G21:AA21,$G$3:$AA$3))</f>
        <v>#NUM!</v>
      </c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G21">
        <v>2.31E-4</v>
      </c>
    </row>
    <row r="22" spans="1:33" x14ac:dyDescent="0.2">
      <c r="A22" s="9">
        <f>MMomentos!A15</f>
        <v>1993</v>
      </c>
      <c r="B22" s="9">
        <f>MMomentos!B15</f>
        <v>0</v>
      </c>
      <c r="C22" s="9">
        <f>MMomentos!C15</f>
        <v>1823</v>
      </c>
      <c r="E22" s="2" t="e">
        <f t="array" ref="E22">LN(SUMPRODUCT(G22:AA22,$G$3:$AA$3))</f>
        <v>#NUM!</v>
      </c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G22">
        <v>3.0000000000000001E-5</v>
      </c>
    </row>
    <row r="23" spans="1:33" x14ac:dyDescent="0.2">
      <c r="A23" s="9">
        <f>MMomentos!A16</f>
        <v>1994</v>
      </c>
      <c r="B23" s="9">
        <f>MMomentos!B16</f>
        <v>1</v>
      </c>
      <c r="C23" s="9">
        <f>MMomentos!C16</f>
        <v>1916</v>
      </c>
      <c r="E23" s="2" t="e">
        <f t="array" ref="E23">LN(SUMPRODUCT(G23:AA23,$G$3:$AA$3))</f>
        <v>#NUM!</v>
      </c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G23">
        <v>5.0000000000000004E-6</v>
      </c>
    </row>
    <row r="24" spans="1:33" x14ac:dyDescent="0.2">
      <c r="A24" s="9">
        <f>MMomentos!A17</f>
        <v>1995</v>
      </c>
      <c r="B24" s="9">
        <f>MMomentos!B17</f>
        <v>1</v>
      </c>
      <c r="C24" s="9">
        <f>MMomentos!C17</f>
        <v>2144</v>
      </c>
      <c r="E24" s="2" t="e">
        <f t="array" ref="E24">LN(SUMPRODUCT(G24:AA24,$G$3:$AA$3))</f>
        <v>#NUM!</v>
      </c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1:33" x14ac:dyDescent="0.2">
      <c r="A25" s="9">
        <f>MMomentos!A18</f>
        <v>1996</v>
      </c>
      <c r="B25" s="9">
        <f>MMomentos!B18</f>
        <v>0</v>
      </c>
      <c r="C25" s="9">
        <f>MMomentos!C18</f>
        <v>2336</v>
      </c>
      <c r="E25" s="2" t="e">
        <f t="array" ref="E25">LN(SUMPRODUCT(G25:AA25,$G$3:$AA$3))</f>
        <v>#NUM!</v>
      </c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1:33" x14ac:dyDescent="0.2">
      <c r="A26" s="9">
        <f>MMomentos!A19</f>
        <v>1997</v>
      </c>
      <c r="B26" s="9">
        <f>MMomentos!B19</f>
        <v>2</v>
      </c>
      <c r="C26" s="9">
        <f>MMomentos!C19</f>
        <v>2551</v>
      </c>
      <c r="E26" s="2" t="e">
        <f t="array" ref="E26">LN(SUMPRODUCT(G26:AA26,$G$3:$AA$3))</f>
        <v>#NUM!</v>
      </c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1:33" x14ac:dyDescent="0.2">
      <c r="A27" s="9">
        <f>MMomentos!A20</f>
        <v>1998</v>
      </c>
      <c r="B27" s="9">
        <f>MMomentos!B20</f>
        <v>4</v>
      </c>
      <c r="C27" s="9">
        <f>MMomentos!C20</f>
        <v>2718</v>
      </c>
      <c r="E27" s="2" t="e">
        <f t="array" ref="E27">LN(SUMPRODUCT(G27:AA27,$G$3:$AA$3))</f>
        <v>#NUM!</v>
      </c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1:33" x14ac:dyDescent="0.2">
      <c r="A28" s="9">
        <f>MMomentos!A21</f>
        <v>1999</v>
      </c>
      <c r="B28" s="9">
        <f>MMomentos!B21</f>
        <v>4</v>
      </c>
      <c r="C28" s="9">
        <f>MMomentos!C21</f>
        <v>2790</v>
      </c>
      <c r="E28" s="2" t="e">
        <f t="array" ref="E28">LN(SUMPRODUCT(G28:AA28,$G$3:$AA$3))</f>
        <v>#NUM!</v>
      </c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1:33" x14ac:dyDescent="0.2">
      <c r="A29" s="9">
        <f>MMomentos!A22</f>
        <v>2000</v>
      </c>
      <c r="B29" s="9">
        <f>MMomentos!B22</f>
        <v>5</v>
      </c>
      <c r="C29" s="9">
        <f>MMomentos!C22</f>
        <v>2835</v>
      </c>
      <c r="E29" s="2" t="e">
        <f t="array" ref="E29">LN(SUMPRODUCT(G29:AA29,$G$3:$AA$3))</f>
        <v>#NUM!</v>
      </c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1:33" x14ac:dyDescent="0.2">
      <c r="A30" s="9">
        <f>MMomentos!A23</f>
        <v>2001</v>
      </c>
      <c r="B30" s="9">
        <f>MMomentos!B23</f>
        <v>6</v>
      </c>
      <c r="C30" s="9">
        <f>MMomentos!C23</f>
        <v>2929</v>
      </c>
      <c r="E30" s="2" t="e">
        <f t="array" ref="E30">LN(SUMPRODUCT(G30:AA30,$G$3:$AA$3))</f>
        <v>#NUM!</v>
      </c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1:33" x14ac:dyDescent="0.2">
      <c r="A31" s="9">
        <f>MMomentos!A24</f>
        <v>2002</v>
      </c>
      <c r="B31" s="9">
        <f>MMomentos!B24</f>
        <v>14</v>
      </c>
      <c r="C31" s="9">
        <f>MMomentos!C24</f>
        <v>3049</v>
      </c>
      <c r="E31" s="2" t="e">
        <f t="array" ref="E31">LN(SUMPRODUCT(G31:AA31,$G$3:$AA$3))</f>
        <v>#NUM!</v>
      </c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1:33" x14ac:dyDescent="0.2">
      <c r="A32" s="9">
        <f>MMomentos!A25</f>
        <v>2003</v>
      </c>
      <c r="B32" s="9">
        <f>MMomentos!B25</f>
        <v>3</v>
      </c>
      <c r="C32" s="9">
        <f>MMomentos!C25</f>
        <v>2998</v>
      </c>
      <c r="E32" s="2" t="e">
        <f t="array" ref="E32">LN(SUMPRODUCT(G32:AA32,$G$3:$AA$3))</f>
        <v>#NUM!</v>
      </c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1:27" x14ac:dyDescent="0.2">
      <c r="A33" s="9">
        <f>MMomentos!A26</f>
        <v>2004</v>
      </c>
      <c r="B33" s="9">
        <f>MMomentos!B26</f>
        <v>0</v>
      </c>
      <c r="C33" s="9">
        <f>MMomentos!C26</f>
        <v>3117</v>
      </c>
      <c r="E33" s="2" t="e">
        <f t="array" ref="E33">LN(SUMPRODUCT(G33:AA33,$G$3:$AA$3))</f>
        <v>#NUM!</v>
      </c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1:27" x14ac:dyDescent="0.2">
      <c r="A34" s="9">
        <f>MMomentos!A27</f>
        <v>2005</v>
      </c>
      <c r="B34" s="9">
        <f>MMomentos!B27</f>
        <v>1</v>
      </c>
      <c r="C34" s="9">
        <f>MMomentos!C27</f>
        <v>3264</v>
      </c>
      <c r="E34" s="2" t="e">
        <f t="array" ref="E34">LN(SUMPRODUCT(G34:AA34,$G$3:$AA$3))</f>
        <v>#NUM!</v>
      </c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1:27" x14ac:dyDescent="0.2">
      <c r="A35" s="9" t="str">
        <f>IF(MMomentos!A28="","",0)</f>
        <v/>
      </c>
      <c r="B35" s="9" t="str">
        <f>IF(MMomentos!B28="","",0)</f>
        <v/>
      </c>
      <c r="C35" s="9" t="str">
        <f>IF(MMomentos!C28="","",0)</f>
        <v/>
      </c>
    </row>
    <row r="36" spans="1:27" x14ac:dyDescent="0.2">
      <c r="A36" s="9" t="str">
        <f>IF(MMomentos!A29="","",0)</f>
        <v/>
      </c>
      <c r="B36" s="9" t="str">
        <f>IF(MMomentos!B29="","",0)</f>
        <v/>
      </c>
      <c r="C36" s="9" t="str">
        <f>IF(MMomentos!C29="","",0)</f>
        <v/>
      </c>
    </row>
    <row r="37" spans="1:27" x14ac:dyDescent="0.2">
      <c r="A37" s="9" t="str">
        <f>IF(MMomentos!A30="","",0)</f>
        <v/>
      </c>
      <c r="B37" s="9" t="str">
        <f>IF(MMomentos!B30="","",0)</f>
        <v/>
      </c>
      <c r="C37" s="9" t="str">
        <f>IF(MMomentos!C30="","",0)</f>
        <v/>
      </c>
    </row>
    <row r="38" spans="1:27" x14ac:dyDescent="0.2">
      <c r="A38" s="9" t="str">
        <f>IF(MMomentos!A31="","",0)</f>
        <v/>
      </c>
      <c r="B38" s="9" t="str">
        <f>IF(MMomentos!B31="","",0)</f>
        <v/>
      </c>
      <c r="C38" s="9" t="str">
        <f>IF(MMomentos!C31="","",0)</f>
        <v/>
      </c>
    </row>
    <row r="39" spans="1:27" x14ac:dyDescent="0.2">
      <c r="A39" s="9" t="str">
        <f>IF(MMomentos!A32="","",0)</f>
        <v/>
      </c>
      <c r="B39" s="9" t="str">
        <f>IF(MMomentos!B32="","",0)</f>
        <v/>
      </c>
      <c r="C39" s="9" t="str">
        <f>IF(MMomentos!C32="","",0)</f>
        <v/>
      </c>
    </row>
    <row r="40" spans="1:27" x14ac:dyDescent="0.2">
      <c r="A40" s="9" t="str">
        <f>IF(MMomentos!A33="","",0)</f>
        <v/>
      </c>
      <c r="B40" s="9" t="str">
        <f>IF(MMomentos!B33="","",0)</f>
        <v/>
      </c>
      <c r="C40" s="9" t="str">
        <f>IF(MMomentos!C33="","",0)</f>
        <v/>
      </c>
    </row>
    <row r="41" spans="1:27" x14ac:dyDescent="0.2">
      <c r="A41" s="9" t="str">
        <f>IF(MMomentos!A34="","",0)</f>
        <v/>
      </c>
      <c r="B41" s="9" t="str">
        <f>IF(MMomentos!B34="","",0)</f>
        <v/>
      </c>
      <c r="C41" s="9" t="str">
        <f>IF(MMomentos!C34="","",0)</f>
        <v/>
      </c>
    </row>
    <row r="42" spans="1:27" x14ac:dyDescent="0.2">
      <c r="A42" s="2"/>
      <c r="B42" t="str">
        <f>IF(MMomentos!B35="","",0)</f>
        <v/>
      </c>
      <c r="C42" t="str">
        <f>IF(MMomentos!C35="","",0)</f>
        <v/>
      </c>
      <c r="G42">
        <v>-26.611624737019863</v>
      </c>
      <c r="H42">
        <f>2*(G42-G45)</f>
        <v>13.854263684781479</v>
      </c>
      <c r="I42">
        <f>CHIDIST(H42,1)</f>
        <v>1.9754800733233119E-4</v>
      </c>
    </row>
    <row r="43" spans="1:27" x14ac:dyDescent="0.2">
      <c r="A43" s="2"/>
      <c r="B43" t="str">
        <f>IF(MMomentos!B36="","",0)</f>
        <v/>
      </c>
      <c r="C43" t="str">
        <f>IF(MMomentos!C36="","",0)</f>
        <v/>
      </c>
      <c r="G43">
        <v>-26.678941065476312</v>
      </c>
    </row>
    <row r="44" spans="1:27" x14ac:dyDescent="0.2">
      <c r="A44" s="2"/>
      <c r="B44" t="str">
        <f>IF(MMomentos!B37="","",0)</f>
        <v/>
      </c>
      <c r="C44" t="str">
        <f>IF(MMomentos!C37="","",0)</f>
        <v/>
      </c>
    </row>
    <row r="45" spans="1:27" x14ac:dyDescent="0.2">
      <c r="A45" s="2"/>
      <c r="B45" t="str">
        <f>IF(MMomentos!B38="","",0)</f>
        <v/>
      </c>
      <c r="C45" t="str">
        <f>IF(MMomentos!C38="","",0)</f>
        <v/>
      </c>
      <c r="G45">
        <v>-33.538756579410602</v>
      </c>
    </row>
    <row r="46" spans="1:27" x14ac:dyDescent="0.2">
      <c r="A46" s="2"/>
      <c r="B46" t="str">
        <f>IF(MMomentos!B39="","",0)</f>
        <v/>
      </c>
      <c r="C46" t="str">
        <f>IF(MMomentos!C39="","",0)</f>
        <v/>
      </c>
    </row>
    <row r="47" spans="1:27" x14ac:dyDescent="0.2">
      <c r="A47" s="2"/>
      <c r="B47" t="str">
        <f>IF(MMomentos!B40="","",0)</f>
        <v/>
      </c>
      <c r="C47" t="str">
        <f>IF(MMomentos!C40="","",0)</f>
        <v/>
      </c>
    </row>
    <row r="48" spans="1:27" x14ac:dyDescent="0.2">
      <c r="A48" s="2"/>
      <c r="B48" t="str">
        <f>IF(MMomentos!B41="","",0)</f>
        <v/>
      </c>
      <c r="C48" t="str">
        <f>IF(MMomentos!C41="","",0)</f>
        <v/>
      </c>
    </row>
    <row r="49" spans="1:3" x14ac:dyDescent="0.2">
      <c r="A49" s="2"/>
      <c r="B49" t="str">
        <f>IF(MMomentos!B42="","",0)</f>
        <v/>
      </c>
      <c r="C49" t="str">
        <f>IF(MMomentos!C42="","",0)</f>
        <v/>
      </c>
    </row>
    <row r="50" spans="1:3" x14ac:dyDescent="0.2">
      <c r="A50" s="2"/>
      <c r="B50" t="str">
        <f>IF(MMomentos!B43="","",0)</f>
        <v/>
      </c>
      <c r="C50" t="str">
        <f>IF(MMomentos!C43="","",0)</f>
        <v/>
      </c>
    </row>
    <row r="51" spans="1:3" x14ac:dyDescent="0.2">
      <c r="A51" s="2"/>
      <c r="B51" t="str">
        <f>IF(MMomentos!B44="","",0)</f>
        <v/>
      </c>
      <c r="C51" t="str">
        <f>IF(MMomentos!C44="","",0)</f>
        <v/>
      </c>
    </row>
    <row r="52" spans="1:3" x14ac:dyDescent="0.2">
      <c r="A52" s="2"/>
    </row>
    <row r="53" spans="1:3" x14ac:dyDescent="0.2">
      <c r="A53" s="2"/>
    </row>
    <row r="54" spans="1:3" x14ac:dyDescent="0.2">
      <c r="A54" s="2"/>
    </row>
    <row r="55" spans="1:3" x14ac:dyDescent="0.2">
      <c r="A55" s="2"/>
    </row>
    <row r="56" spans="1:3" x14ac:dyDescent="0.2">
      <c r="A56" s="2"/>
    </row>
    <row r="57" spans="1:3" x14ac:dyDescent="0.2">
      <c r="A57" s="2"/>
    </row>
    <row r="58" spans="1:3" x14ac:dyDescent="0.2">
      <c r="A58" s="2"/>
    </row>
    <row r="59" spans="1:3" x14ac:dyDescent="0.2">
      <c r="A59" s="2"/>
    </row>
    <row r="60" spans="1:3" x14ac:dyDescent="0.2">
      <c r="A60" s="2"/>
    </row>
    <row r="61" spans="1:3" x14ac:dyDescent="0.2">
      <c r="A61" s="2"/>
    </row>
    <row r="62" spans="1:3" x14ac:dyDescent="0.2">
      <c r="A62" s="2"/>
    </row>
  </sheetData>
  <phoneticPr fontId="3" type="noConversion"/>
  <pageMargins left="0.75" right="0.75" top="1" bottom="1" header="0" footer="0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MMomentos</vt:lpstr>
      <vt:lpstr>Maxim veros</vt:lpstr>
    </vt:vector>
  </TitlesOfParts>
  <Company>BBVA-BANCOMER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BBVA-BANCOMER</dc:creator>
  <cp:lastModifiedBy>Christian Miranda</cp:lastModifiedBy>
  <cp:lastPrinted>2016-11-15T22:01:18Z</cp:lastPrinted>
  <dcterms:created xsi:type="dcterms:W3CDTF">2011-10-04T16:25:38Z</dcterms:created>
  <dcterms:modified xsi:type="dcterms:W3CDTF">2020-05-27T01:05:13Z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&gt;&lt;version val=&quot;17289&quot;/&gt;&lt;partner val=&quot;530&quot;/&gt;&lt;CXlWorkbook id=&quot;1&quot;&gt;&lt;m_cxllink/&gt;&lt;/CXlWorkbook&gt;&lt;/root&gt;">
    <vt:bool>false</vt:bool>
  </property>
</Properties>
</file>